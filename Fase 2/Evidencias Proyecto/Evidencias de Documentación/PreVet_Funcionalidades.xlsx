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40" tabRatio="600" firstSheet="0" activeTab="0" autoFilterDateGrouping="1"/>
  </bookViews>
  <sheets>
    <sheet xmlns:r="http://schemas.openxmlformats.org/officeDocument/2006/relationships" name="Usuarios de prueba" sheetId="1" state="visible" r:id="rId1"/>
    <sheet xmlns:r="http://schemas.openxmlformats.org/officeDocument/2006/relationships" name="Funcionalidades" sheetId="2" state="visible" r:id="rId2"/>
    <sheet xmlns:r="http://schemas.openxmlformats.org/officeDocument/2006/relationships" name="Plan por etapa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1" hidden="1">'Funcionalidades'!$A$4:$J$49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1E1B2E"/>
      <sz val="14"/>
    </font>
    <font>
      <name val="Arial"/>
      <family val="2"/>
      <i val="1"/>
      <color rgb="FF6E6890"/>
      <sz val="10"/>
    </font>
    <font>
      <name val="Arial"/>
      <family val="2"/>
      <b val="1"/>
      <color rgb="FFFFFFFF"/>
      <sz val="10"/>
    </font>
    <font>
      <name val="Arial"/>
      <family val="2"/>
      <color rgb="FF1E1B2E"/>
      <sz val="10"/>
    </font>
    <font>
      <name val="Arial"/>
      <family val="2"/>
      <b val="1"/>
      <color rgb="FF1E1B2E"/>
      <sz val="10"/>
    </font>
    <font>
      <name val="Calibri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6B5AD4"/>
      </patternFill>
    </fill>
    <fill>
      <patternFill patternType="solid">
        <fgColor rgb="FFFFF2A8"/>
      </patternFill>
    </fill>
    <fill>
      <patternFill patternType="solid">
        <fgColor rgb="FFE7E5EE"/>
      </patternFill>
    </fill>
    <fill>
      <patternFill patternType="solid">
        <fgColor rgb="FFDCEBFB"/>
      </patternFill>
    </fill>
    <fill>
      <patternFill patternType="solid">
        <fgColor rgb="FFDDF4E8"/>
      </patternFill>
    </fill>
    <fill>
      <patternFill patternType="solid">
        <fgColor rgb="FFC7EEDA"/>
      </patternFill>
    </fill>
    <fill>
      <patternFill patternType="solid">
        <fgColor rgb="FFFDF0D5"/>
      </patternFill>
    </fill>
    <fill>
      <patternFill patternType="solid">
        <fgColor rgb="FFFBE3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3E8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3" borderId="1" pivotButton="0" quotePrefix="0" xfId="0"/>
    <xf numFmtId="0" fontId="5" fillId="0" borderId="0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9" fontId="5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dxfs count="8">
    <dxf>
      <fill>
        <patternFill patternType="solid">
          <fgColor rgb="FFFDF0D5"/>
        </patternFill>
      </fill>
    </dxf>
    <dxf>
      <fill>
        <patternFill patternType="solid">
          <fgColor rgb="FFC7EEDA"/>
        </patternFill>
      </fill>
    </dxf>
    <dxf>
      <fill>
        <patternFill patternType="solid">
          <fgColor rgb="FFFBE3E7"/>
        </patternFill>
      </fill>
    </dxf>
    <dxf>
      <fill>
        <patternFill patternType="solid">
          <fgColor rgb="FFFDF0D5"/>
        </patternFill>
      </fill>
    </dxf>
    <dxf>
      <fill>
        <patternFill patternType="solid">
          <fgColor rgb="FFC7EEDA"/>
        </patternFill>
      </fill>
    </dxf>
    <dxf>
      <fill>
        <patternFill patternType="solid">
          <fgColor rgb="FFDDF4E8"/>
        </patternFill>
      </fill>
    </dxf>
    <dxf>
      <fill>
        <patternFill patternType="solid">
          <fgColor rgb="FFDCEBFB"/>
        </patternFill>
      </fill>
    </dxf>
    <dxf>
      <fill>
        <patternFill patternType="solid">
          <fgColor rgb="FFE7E5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PreVet</author>
  </authors>
  <commentList>
    <comment ref="F5" authorId="0" shapeId="0">
      <text>
        <t>Tu contraseña de siempre. Escríbela solo si este archivo queda en tu computador.</t>
      </text>
    </comment>
  </commentList>
</comments>
</file>

<file path=xl/comments/comment2.xml><?xml version="1.0" encoding="utf-8"?>
<comments xmlns="http://schemas.openxmlformats.org/spreadsheetml/2006/main">
  <authors>
    <author>PreVet</author>
  </authors>
  <commentList>
    <comment ref="D5" authorId="0" shapeId="0">
      <text>
        <t>Etapa 1: calendario, detalle, llegó/atendida/no asistió, reagendar y cancelar.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tabSelected="1" workbookViewId="0">
      <pane ySplit="4" topLeftCell="A5" activePane="bottomLeft" state="frozen"/>
      <selection pane="bottomLeft" activeCell="F9" sqref="F9"/>
    </sheetView>
  </sheetViews>
  <sheetFormatPr baseColWidth="10" defaultColWidth="8.83203125" defaultRowHeight="15"/>
  <cols>
    <col width="24" customWidth="1" style="18" min="1" max="1"/>
    <col width="22" customWidth="1" style="18" min="2" max="2"/>
    <col width="18" customWidth="1" style="18" min="3" max="3"/>
    <col width="20" customWidth="1" style="18" min="4" max="4"/>
    <col width="60" customWidth="1" style="18" min="5" max="5"/>
    <col width="28" customWidth="1" style="18" min="6" max="6"/>
  </cols>
  <sheetData>
    <row r="1" ht="18" customHeight="1" s="18">
      <c r="A1" s="1" t="inlineStr">
        <is>
          <t>PreVet · Usuarios para probar las vistas</t>
        </is>
      </c>
    </row>
    <row r="2">
      <c r="A2" s="2" t="inlineStr">
        <is>
          <t>Completa tú la columna amarilla. Este archivo NO se sube a GitHub ni se comparte: tiene contraseñas.</t>
        </is>
      </c>
    </row>
    <row r="3"/>
    <row r="4" ht="30" customHeight="1" s="18">
      <c r="A4" s="3" t="inlineStr">
        <is>
          <t>Usuario (para entrar)</t>
        </is>
      </c>
      <c r="B4" s="3" t="inlineStr">
        <is>
          <t>Nombre</t>
        </is>
      </c>
      <c r="C4" s="3" t="inlineStr">
        <is>
          <t>Tipo de usuario</t>
        </is>
      </c>
      <c r="D4" s="3" t="inlineStr">
        <is>
          <t>Grupo de permisos</t>
        </is>
      </c>
      <c r="E4" s="3" t="inlineStr">
        <is>
          <t>Qué ve al entrar</t>
        </is>
      </c>
      <c r="F4" s="3" t="inlineStr">
        <is>
          <t>Contraseña (la escribes tú)</t>
        </is>
      </c>
    </row>
    <row r="5" ht="42" customHeight="1" s="18">
      <c r="A5" s="4" t="inlineStr">
        <is>
          <t>katalina</t>
        </is>
      </c>
      <c r="B5" s="4" t="inlineStr">
        <is>
          <t>Katalina Mora</t>
        </is>
      </c>
      <c r="C5" s="4" t="inlineStr">
        <is>
          <t>Superusuario</t>
        </is>
      </c>
      <c r="D5" s="4" t="inlineStr">
        <is>
          <t>— (tiene todo)</t>
        </is>
      </c>
      <c r="E5" s="4" t="inlineStr">
        <is>
          <t>Todo el sistema y el panel /admin/ completo.</t>
        </is>
      </c>
      <c r="F5" s="5" t="inlineStr">
        <is>
          <t>(se entrega aparte)</t>
        </is>
      </c>
    </row>
    <row r="6" ht="42" customHeight="1" s="18">
      <c r="A6" s="4" t="inlineStr">
        <is>
          <t>prueba.admin</t>
        </is>
      </c>
      <c r="B6" s="4" t="inlineStr">
        <is>
          <t>Prueba Administración</t>
        </is>
      </c>
      <c r="C6" s="4" t="inlineStr">
        <is>
          <t>Administrador</t>
        </is>
      </c>
      <c r="D6" s="4" t="inlineStr">
        <is>
          <t>Administración</t>
        </is>
      </c>
      <c r="E6" s="4" t="inlineStr">
        <is>
          <t>Todo PreVet: inicio, calendario, citas, agendar, mascotas, horas en riesgo, indicadores, personal, grupos de permisos y el panel /admin/.</t>
        </is>
      </c>
      <c r="F6" s="5" t="inlineStr">
        <is>
          <t>(se entrega aparte)</t>
        </is>
      </c>
    </row>
    <row r="7" ht="42" customHeight="1" s="18">
      <c r="A7" s="4" t="inlineStr">
        <is>
          <t>prueba.recepcion</t>
        </is>
      </c>
      <c r="B7" s="4" t="inlineStr">
        <is>
          <t>Prueba Recepción</t>
        </is>
      </c>
      <c r="C7" s="4" t="inlineStr">
        <is>
          <t>Recepcionista</t>
        </is>
      </c>
      <c r="D7" s="4" t="inlineStr">
        <is>
          <t>Recepción</t>
        </is>
      </c>
      <c r="E7" s="4" t="inlineStr">
        <is>
          <t>Inicio, calendario, citas, agendar hora, registrar clientes y mascotas, mascotas y horas en riesgo. No ve indicadores ni administración.</t>
        </is>
      </c>
      <c r="F7" s="5" t="inlineStr">
        <is>
          <t>(se entrega aparte)</t>
        </is>
      </c>
    </row>
    <row r="8" ht="42" customHeight="1" s="18">
      <c r="A8" s="4" t="inlineStr">
        <is>
          <t>prueba.veterinario</t>
        </is>
      </c>
      <c r="B8" s="4" t="inlineStr">
        <is>
          <t>Prueba Veterinaria</t>
        </is>
      </c>
      <c r="C8" s="4" t="inlineStr">
        <is>
          <t>Veterinario</t>
        </is>
      </c>
      <c r="D8" s="4" t="inlineStr">
        <is>
          <t>Veterinarios</t>
        </is>
      </c>
      <c r="E8" s="4" t="inlineStr">
        <is>
          <t>Inicio, calendario (parte con sus citas), citas y mascotas. Puede marcar llegó/atendida/no asistió. No agenda, no ve riesgo ni indicadores.</t>
        </is>
      </c>
      <c r="F8" s="5" t="inlineStr">
        <is>
          <t>(se entrega aparte)</t>
        </is>
      </c>
    </row>
    <row r="9" ht="42" customHeight="1" s="18">
      <c r="A9" s="4" t="inlineStr">
        <is>
          <t>15.234.871-1</t>
        </is>
      </c>
      <c r="B9" s="4" t="inlineStr">
        <is>
          <t>Javiera Pérez</t>
        </is>
      </c>
      <c r="C9" s="4" t="inlineStr">
        <is>
          <t>Cliente (tutora)</t>
        </is>
      </c>
      <c r="D9" s="4" t="inlineStr">
        <is>
          <t>— (portal Mi PreVet)</t>
        </is>
      </c>
      <c r="E9" s="4" t="inlineStr">
        <is>
          <t>Solo «Mi PreVet»: sus mascotas, sus citas y sus datos. No ve pantallas de la clínica.</t>
        </is>
      </c>
      <c r="F9" s="5" t="inlineStr">
        <is>
          <t>(se entrega aparte)</t>
        </is>
      </c>
    </row>
    <row r="10"/>
    <row r="11">
      <c r="A11" s="6" t="inlineStr">
        <is>
          <t>Cómo cambiar una contraseña</t>
        </is>
      </c>
    </row>
    <row r="12" ht="32" customHeight="1" s="18">
      <c r="A12" s="19" t="inlineStr">
        <is>
          <t>Con tu cuenta katalina: menú Administración → Personal → Editar → "Nueva contraseña" y "Repite la contraseña" → Guardar cambios. Mínimo 8 caracteres, no muy común y que no se parezca al usuario.</t>
        </is>
      </c>
    </row>
    <row r="13"/>
    <row r="14" ht="32" customHeight="1" s="18">
      <c r="A14" s="17" t="inlineStr">
        <is>
          <t>Datos de prueba del sistema (no inician sesión): 5 veterinarios de demo (paz.herrera, luis.contreras, carolina.fuentes, sebastian.rios, antonia.lagos) y 10 clientes con RUT. Las 10 cuentas antiguas de "Dueño de mascota" ya no se usan.</t>
        </is>
      </c>
    </row>
  </sheetData>
  <mergeCells count="2">
    <mergeCell ref="A14:F14"/>
    <mergeCell ref="A12:F12"/>
  </mergeCells>
  <pageMargins left="0.75" right="0.75" top="1" bottom="1" header="0.5" footer="0.5"/>
  <pageSetup orientation="portrait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18" min="1" max="1"/>
    <col width="30" customWidth="1" style="18" min="2" max="2"/>
    <col width="62" customWidth="1" style="18" min="3" max="3"/>
    <col width="22" customWidth="1" style="18" min="4" max="4"/>
    <col width="14" customWidth="1" style="18" min="5" max="5"/>
    <col width="12" customWidth="1" style="18" min="6" max="8"/>
    <col width="26" customWidth="1" style="18" min="9" max="9"/>
    <col width="11" customWidth="1" style="18" min="10" max="10"/>
  </cols>
  <sheetData>
    <row r="1" ht="18" customHeight="1" s="18">
      <c r="A1" s="1" t="inlineStr">
        <is>
          <t>PreVet · Qué hace el sistema, en qué estado está y quién lo usa</t>
        </is>
      </c>
    </row>
    <row r="2">
      <c r="A2" s="2" t="inlineStr">
        <is>
          <t>✓ = puede usarlo · — = no tiene acceso · El superusuario (katalina) puede usar todo.</t>
        </is>
      </c>
    </row>
    <row r="4" ht="30" customHeight="1" s="18">
      <c r="A4" s="3" t="inlineStr">
        <is>
          <t>Módulo</t>
        </is>
      </c>
      <c r="B4" s="3" t="inlineStr">
        <is>
          <t>Funcionalidad</t>
        </is>
      </c>
      <c r="C4" s="3" t="inlineStr">
        <is>
          <t>Qué hace</t>
        </is>
      </c>
      <c r="D4" s="3" t="inlineStr">
        <is>
          <t>Estado</t>
        </is>
      </c>
      <c r="E4" s="3" t="inlineStr">
        <is>
          <t>Administración</t>
        </is>
      </c>
      <c r="F4" s="3" t="inlineStr">
        <is>
          <t>Recepción</t>
        </is>
      </c>
      <c r="G4" s="3" t="inlineStr">
        <is>
          <t>Veterinario</t>
        </is>
      </c>
      <c r="H4" s="3" t="inlineStr">
        <is>
          <t>Cliente</t>
        </is>
      </c>
      <c r="I4" s="3" t="inlineStr">
        <is>
          <t>Dónde está</t>
        </is>
      </c>
      <c r="J4" s="3" t="inlineStr">
        <is>
          <t>Commit</t>
        </is>
      </c>
    </row>
    <row r="5" ht="28" customHeight="1" s="18">
      <c r="A5" s="4" t="inlineStr">
        <is>
          <t>Acceso</t>
        </is>
      </c>
      <c r="B5" s="7" t="inlineStr">
        <is>
          <t>Inicio de sesión</t>
        </is>
      </c>
      <c r="C5" s="4" t="inlineStr">
        <is>
          <t>Entrar con usuario y contraseña. Diseño propio: fondo violeta, tarjeta de vidrio, huellas que flotan y camino de pisadas animado.</t>
        </is>
      </c>
      <c r="D5" s="4" t="inlineStr">
        <is>
          <t>Agregado 14-10</t>
        </is>
      </c>
      <c r="E5" s="8" t="inlineStr">
        <is>
          <t>✓</t>
        </is>
      </c>
      <c r="F5" s="8" t="inlineStr">
        <is>
          <t>✓</t>
        </is>
      </c>
      <c r="G5" s="8" t="inlineStr">
        <is>
          <t>✓</t>
        </is>
      </c>
      <c r="H5" s="8" t="inlineStr">
        <is>
          <t>—</t>
        </is>
      </c>
      <c r="I5" s="4" t="inlineStr">
        <is>
          <t>/login/</t>
        </is>
      </c>
      <c r="J5" s="8" t="inlineStr">
        <is>
          <t>8bb6c75</t>
        </is>
      </c>
    </row>
    <row r="6" ht="28" customHeight="1" s="18">
      <c r="A6" s="4" t="inlineStr">
        <is>
          <t>Acceso</t>
        </is>
      </c>
      <c r="B6" s="7" t="inlineStr">
        <is>
          <t>Permisos por grupo en todas las pantallas</t>
        </is>
      </c>
      <c r="C6" s="4" t="inlineStr">
        <is>
          <t>Cada persona entra solo a lo que su grupo permite. El menú muestra solo eso y, si entra a otra dirección, ve "Esta sección no está disponible".</t>
        </is>
      </c>
      <c r="D6" s="4" t="inlineStr">
        <is>
          <t>Agregado 15-10</t>
        </is>
      </c>
      <c r="E6" s="8" t="inlineStr">
        <is>
          <t>✓</t>
        </is>
      </c>
      <c r="F6" s="8" t="inlineStr">
        <is>
          <t>✓</t>
        </is>
      </c>
      <c r="G6" s="8" t="inlineStr">
        <is>
          <t>✓</t>
        </is>
      </c>
      <c r="H6" s="8" t="inlineStr">
        <is>
          <t>—</t>
        </is>
      </c>
      <c r="I6" s="4" t="inlineStr">
        <is>
          <t>Todo el sistema</t>
        </is>
      </c>
      <c r="J6" s="8" t="inlineStr">
        <is>
          <t>d069692</t>
        </is>
      </c>
    </row>
    <row r="7" ht="28" customHeight="1" s="18">
      <c r="A7" s="4" t="inlineStr">
        <is>
          <t>Diseño</t>
        </is>
      </c>
      <c r="B7" s="7" t="inlineStr">
        <is>
          <t>Estilo del login en todo el sistema</t>
        </is>
      </c>
      <c r="C7" s="4" t="inlineStr">
        <is>
          <t>Paleta violeta, tarjetas de vidrio y esquinas redondeadas en todas las pantallas y en /admin/.</t>
        </is>
      </c>
      <c r="D7" s="4" t="inlineStr">
        <is>
          <t>Agregado 15-10</t>
        </is>
      </c>
      <c r="E7" s="8" t="inlineStr">
        <is>
          <t>✓</t>
        </is>
      </c>
      <c r="F7" s="8" t="inlineStr">
        <is>
          <t>✓</t>
        </is>
      </c>
      <c r="G7" s="8" t="inlineStr">
        <is>
          <t>✓</t>
        </is>
      </c>
      <c r="H7" s="8" t="inlineStr">
        <is>
          <t>—</t>
        </is>
      </c>
      <c r="I7" s="4" t="inlineStr">
        <is>
          <t>Todo el sistema</t>
        </is>
      </c>
      <c r="J7" s="8" t="inlineStr">
        <is>
          <t>a9e74ae</t>
        </is>
      </c>
    </row>
    <row r="8" ht="28" customHeight="1" s="18">
      <c r="A8" s="4" t="inlineStr">
        <is>
          <t>Diseño</t>
        </is>
      </c>
      <c r="B8" s="7" t="inlineStr">
        <is>
          <t>Modo día y noche</t>
        </is>
      </c>
      <c r="C8" s="4" t="inlineStr">
        <is>
          <t>Botón 🌙/☀️ arriba a la derecha. Noche = igual al login (por defecto). Se recuerda lo que elige cada persona.</t>
        </is>
      </c>
      <c r="D8" s="4" t="inlineStr">
        <is>
          <t>Agregado 15-10</t>
        </is>
      </c>
      <c r="E8" s="8" t="inlineStr">
        <is>
          <t>✓</t>
        </is>
      </c>
      <c r="F8" s="8" t="inlineStr">
        <is>
          <t>✓</t>
        </is>
      </c>
      <c r="G8" s="8" t="inlineStr">
        <is>
          <t>✓</t>
        </is>
      </c>
      <c r="H8" s="8" t="inlineStr">
        <is>
          <t>—</t>
        </is>
      </c>
      <c r="I8" s="4" t="inlineStr">
        <is>
          <t>Barra superior</t>
        </is>
      </c>
      <c r="J8" s="8" t="inlineStr">
        <is>
          <t>759a1e1</t>
        </is>
      </c>
    </row>
    <row r="9" ht="28" customHeight="1" s="18">
      <c r="A9" s="4" t="inlineStr">
        <is>
          <t>Diseño</t>
        </is>
      </c>
      <c r="B9" s="7" t="inlineStr">
        <is>
          <t>Estilos separados en static/</t>
        </is>
      </c>
      <c r="C9" s="4" t="inlineStr">
        <is>
          <t>El diseño (CSS), los scripts (JS) y las imágenes viven en sistema/static/, separados del HTML.</t>
        </is>
      </c>
      <c r="D9" s="4" t="inlineStr">
        <is>
          <t>Agregado 14-10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  <c r="I9" s="4" t="inlineStr">
        <is>
          <t>sistema/static/</t>
        </is>
      </c>
      <c r="J9" s="8" t="inlineStr">
        <is>
          <t>31f07fb</t>
        </is>
      </c>
    </row>
    <row r="10" ht="28" customHeight="1" s="18">
      <c r="A10" s="4" t="inlineStr">
        <is>
          <t>Tablero</t>
        </is>
      </c>
      <c r="B10" s="7" t="inlineStr">
        <is>
          <t>Inicio con indicadores</t>
        </is>
      </c>
      <c r="C10" s="4" t="inlineStr">
        <is>
          <t>Citas ocurridas, inasistencias, tasa (17,3 %), plata perdida ($1.061.000), faltas por día y próximas citas.</t>
        </is>
      </c>
      <c r="D10" s="4" t="inlineStr">
        <is>
          <t>Existía (antes del 10-10)</t>
        </is>
      </c>
      <c r="E10" s="8" t="inlineStr">
        <is>
          <t>✓</t>
        </is>
      </c>
      <c r="F10" s="8" t="inlineStr">
        <is>
          <t>✓</t>
        </is>
      </c>
      <c r="G10" s="8" t="inlineStr">
        <is>
          <t>✓</t>
        </is>
      </c>
      <c r="H10" s="8" t="inlineStr">
        <is>
          <t>—</t>
        </is>
      </c>
      <c r="I10" s="4" t="inlineStr">
        <is>
          <t>/</t>
        </is>
      </c>
      <c r="J10" s="8" t="inlineStr">
        <is>
          <t>—</t>
        </is>
      </c>
    </row>
    <row r="11" ht="28" customHeight="1" s="18">
      <c r="A11" s="4" t="inlineStr">
        <is>
          <t>Agenda</t>
        </is>
      </c>
      <c r="B11" s="7" t="inlineStr">
        <is>
          <t>Calendario día / semana / mes</t>
        </is>
      </c>
      <c r="C11" s="4" t="inlineStr">
        <is>
          <t>Citas en colores según estado, filtro por profesional y marca de riesgo alto. Cada veterinario parte viendo sus citas.</t>
        </is>
      </c>
      <c r="D11" s="4" t="inlineStr">
        <is>
          <t>Agregado 15-10</t>
        </is>
      </c>
      <c r="E11" s="8" t="inlineStr">
        <is>
          <t>✓</t>
        </is>
      </c>
      <c r="F11" s="8" t="inlineStr">
        <is>
          <t>✓</t>
        </is>
      </c>
      <c r="G11" s="8" t="inlineStr">
        <is>
          <t>✓</t>
        </is>
      </c>
      <c r="H11" s="8" t="inlineStr">
        <is>
          <t>—</t>
        </is>
      </c>
      <c r="I11" s="4" t="inlineStr">
        <is>
          <t>/citas/calendario/</t>
        </is>
      </c>
      <c r="J11" s="8" t="inlineStr">
        <is>
          <t>b69d88d</t>
        </is>
      </c>
    </row>
    <row r="12" ht="28" customHeight="1" s="18">
      <c r="A12" s="4" t="inlineStr">
        <is>
          <t>Agenda</t>
        </is>
      </c>
      <c r="B12" s="7" t="inlineStr">
        <is>
          <t>Panel de detalle de la cita</t>
        </is>
      </c>
      <c r="C12" s="4" t="inlineStr">
        <is>
          <t>Al hacer clic: mascota, cliente, RUT, teléfono, motivo, nivel de riesgo y por qué.</t>
        </is>
      </c>
      <c r="D12" s="4" t="inlineStr">
        <is>
          <t>Agregado 15-10</t>
        </is>
      </c>
      <c r="E12" s="8" t="inlineStr">
        <is>
          <t>✓</t>
        </is>
      </c>
      <c r="F12" s="8" t="inlineStr">
        <is>
          <t>✓</t>
        </is>
      </c>
      <c r="G12" s="8" t="inlineStr">
        <is>
          <t>✓</t>
        </is>
      </c>
      <c r="H12" s="8" t="inlineStr">
        <is>
          <t>—</t>
        </is>
      </c>
      <c r="I12" s="4" t="inlineStr">
        <is>
          <t>Calendario</t>
        </is>
      </c>
      <c r="J12" s="8" t="inlineStr">
        <is>
          <t>b69d88d</t>
        </is>
      </c>
    </row>
    <row r="13" ht="28" customHeight="1" s="18">
      <c r="A13" s="4" t="inlineStr">
        <is>
          <t>Agenda</t>
        </is>
      </c>
      <c r="B13" s="7" t="inlineStr">
        <is>
          <t>Llegó / Atendida / No asistió</t>
        </is>
      </c>
      <c r="C13" s="4" t="inlineStr">
        <is>
          <t>Registrar la hora real de llegada, cerrar la atención o marcar la inasistencia (solo citas de hoy o pasadas).</t>
        </is>
      </c>
      <c r="D13" s="4" t="inlineStr">
        <is>
          <t>Agregado 15-10</t>
        </is>
      </c>
      <c r="E13" s="8" t="inlineStr">
        <is>
          <t>✓</t>
        </is>
      </c>
      <c r="F13" s="8" t="inlineStr">
        <is>
          <t>✓</t>
        </is>
      </c>
      <c r="G13" s="8" t="inlineStr">
        <is>
          <t>✓</t>
        </is>
      </c>
      <c r="H13" s="8" t="inlineStr">
        <is>
          <t>—</t>
        </is>
      </c>
      <c r="I13" s="4" t="inlineStr">
        <is>
          <t>Calendario</t>
        </is>
      </c>
      <c r="J13" s="8" t="inlineStr">
        <is>
          <t>b69d88d</t>
        </is>
      </c>
    </row>
    <row r="14" ht="28" customHeight="1" s="18">
      <c r="A14" s="4" t="inlineStr">
        <is>
          <t>Agenda</t>
        </is>
      </c>
      <c r="B14" s="7" t="inlineStr">
        <is>
          <t>Reagendar</t>
        </is>
      </c>
      <c r="C14" s="4" t="inlineStr">
        <is>
          <t>Cambiar profesional, fecha u hora, revisando el horario del profesional y que la hora esté libre.</t>
        </is>
      </c>
      <c r="D14" s="4" t="inlineStr">
        <is>
          <t>Agregado 15-10</t>
        </is>
      </c>
      <c r="E14" s="8" t="inlineStr">
        <is>
          <t>✓</t>
        </is>
      </c>
      <c r="F14" s="8" t="inlineStr">
        <is>
          <t>✓</t>
        </is>
      </c>
      <c r="G14" s="8" t="inlineStr">
        <is>
          <t>✓</t>
        </is>
      </c>
      <c r="H14" s="8" t="inlineStr">
        <is>
          <t>—</t>
        </is>
      </c>
      <c r="I14" s="4" t="inlineStr">
        <is>
          <t>Calendario</t>
        </is>
      </c>
      <c r="J14" s="8" t="inlineStr">
        <is>
          <t>b69d88d</t>
        </is>
      </c>
    </row>
    <row r="15" ht="28" customHeight="1" s="18">
      <c r="A15" s="4" t="inlineStr">
        <is>
          <t>Agenda</t>
        </is>
      </c>
      <c r="B15" s="7" t="inlineStr">
        <is>
          <t>Cancelar con motivo</t>
        </is>
      </c>
      <c r="C15" s="4" t="inlineStr">
        <is>
          <t>La cita no se borra: queda cancelada con motivo, quién y cuándo, y la hora se libera.</t>
        </is>
      </c>
      <c r="D15" s="4" t="inlineStr">
        <is>
          <t>Agregado 15-10</t>
        </is>
      </c>
      <c r="E15" s="8" t="inlineStr">
        <is>
          <t>✓</t>
        </is>
      </c>
      <c r="F15" s="8" t="inlineStr">
        <is>
          <t>✓</t>
        </is>
      </c>
      <c r="G15" s="8" t="inlineStr">
        <is>
          <t>✓</t>
        </is>
      </c>
      <c r="H15" s="8" t="inlineStr">
        <is>
          <t>—</t>
        </is>
      </c>
      <c r="I15" s="4" t="inlineStr">
        <is>
          <t>Calendario</t>
        </is>
      </c>
      <c r="J15" s="8" t="inlineStr">
        <is>
          <t>b69d88d</t>
        </is>
      </c>
    </row>
    <row r="16">
      <c r="A16" s="4" t="inlineStr">
        <is>
          <t>Agenda</t>
        </is>
      </c>
      <c r="B16" s="7" t="inlineStr">
        <is>
          <t>Lista de citas con filtros</t>
        </is>
      </c>
      <c r="C16" s="4" t="inlineStr">
        <is>
          <t>Todas las citas con filtro por estado y su conteo.</t>
        </is>
      </c>
      <c r="D16" s="4" t="inlineStr">
        <is>
          <t>Existía (antes del 10-10)</t>
        </is>
      </c>
      <c r="E16" s="8" t="inlineStr">
        <is>
          <t>✓</t>
        </is>
      </c>
      <c r="F16" s="8" t="inlineStr">
        <is>
          <t>✓</t>
        </is>
      </c>
      <c r="G16" s="8" t="inlineStr">
        <is>
          <t>✓</t>
        </is>
      </c>
      <c r="H16" s="8" t="inlineStr">
        <is>
          <t>—</t>
        </is>
      </c>
      <c r="I16" s="4" t="inlineStr">
        <is>
          <t>/citas/</t>
        </is>
      </c>
      <c r="J16" s="8" t="inlineStr">
        <is>
          <t>—</t>
        </is>
      </c>
    </row>
    <row r="17" ht="28" customHeight="1" s="18">
      <c r="A17" s="4" t="inlineStr">
        <is>
          <t>Agenda</t>
        </is>
      </c>
      <c r="B17" s="7" t="inlineStr">
        <is>
          <t>Agendar hora por RUT</t>
        </is>
      </c>
      <c r="C17" s="4" t="inlineStr">
        <is>
          <t>Paso 1: RUT del cliente. Paso 2: tipo de mascota y luego la mascota. Paso 3: atención, profesional, fecha y hora (valida horario y hora tomada).</t>
        </is>
      </c>
      <c r="D17" s="4" t="inlineStr">
        <is>
          <t>Agregado 14-10</t>
        </is>
      </c>
      <c r="E17" s="8" t="inlineStr">
        <is>
          <t>✓</t>
        </is>
      </c>
      <c r="F17" s="8" t="inlineStr">
        <is>
          <t>✓</t>
        </is>
      </c>
      <c r="G17" s="8" t="inlineStr">
        <is>
          <t>—</t>
        </is>
      </c>
      <c r="H17" s="8" t="inlineStr">
        <is>
          <t>—</t>
        </is>
      </c>
      <c r="I17" s="4" t="inlineStr">
        <is>
          <t>/citas/nueva/</t>
        </is>
      </c>
      <c r="J17" s="8" t="inlineStr">
        <is>
          <t>002f116</t>
        </is>
      </c>
    </row>
    <row r="18" ht="28" customHeight="1" s="18">
      <c r="A18" s="4" t="inlineStr">
        <is>
          <t>Clientes y mascotas</t>
        </is>
      </c>
      <c r="B18" s="7" t="inlineStr">
        <is>
          <t>Clientes con RUT</t>
        </is>
      </c>
      <c r="C18" s="4" t="inlineStr">
        <is>
          <t>Ficha del cliente con RUT validado por dígito verificador. Los dueños ya no son usuarios del sistema.</t>
        </is>
      </c>
      <c r="D18" s="4" t="inlineStr">
        <is>
          <t>Agregado 14-10</t>
        </is>
      </c>
      <c r="E18" s="8" t="inlineStr">
        <is>
          <t>✓</t>
        </is>
      </c>
      <c r="F18" s="8" t="inlineStr">
        <is>
          <t>✓</t>
        </is>
      </c>
      <c r="G18" s="8" t="inlineStr">
        <is>
          <t>—</t>
        </is>
      </c>
      <c r="H18" s="8" t="inlineStr">
        <is>
          <t>—</t>
        </is>
      </c>
      <c r="I18" s="4" t="inlineStr">
        <is>
          <t>/clientes/nuevo/</t>
        </is>
      </c>
      <c r="J18" s="8" t="inlineStr">
        <is>
          <t>1e095b1</t>
        </is>
      </c>
    </row>
    <row r="19" ht="28" customHeight="1" s="18">
      <c r="A19" s="4" t="inlineStr">
        <is>
          <t>Clientes y mascotas</t>
        </is>
      </c>
      <c r="B19" s="7" t="inlineStr">
        <is>
          <t>Varios clientes por mascota</t>
        </is>
      </c>
      <c r="C19" s="4" t="inlineStr">
        <is>
          <t>Un cliente tiene muchas mascotas y una mascota puede tener varios clientes (dueño, familiar, cuidador), con un responsable principal.</t>
        </is>
      </c>
      <c r="D19" s="4" t="inlineStr">
        <is>
          <t>Agregado 14-10</t>
        </is>
      </c>
      <c r="E19" s="8" t="inlineStr">
        <is>
          <t>✓</t>
        </is>
      </c>
      <c r="F19" s="8" t="inlineStr">
        <is>
          <t>✓</t>
        </is>
      </c>
      <c r="G19" s="8" t="inlineStr">
        <is>
          <t>—</t>
        </is>
      </c>
      <c r="H19" s="8" t="inlineStr">
        <is>
          <t>—</t>
        </is>
      </c>
      <c r="I19" s="4" t="inlineStr">
        <is>
          <t>/admin/ y agendar</t>
        </is>
      </c>
      <c r="J19" s="8" t="inlineStr">
        <is>
          <t>1e095b1</t>
        </is>
      </c>
    </row>
    <row r="20" ht="28" customHeight="1" s="18">
      <c r="A20" s="4" t="inlineStr">
        <is>
          <t>Clientes y mascotas</t>
        </is>
      </c>
      <c r="B20" s="7" t="inlineStr">
        <is>
          <t>Tipos de mascota</t>
        </is>
      </c>
      <c r="C20" s="4" t="inlineStr">
        <is>
          <t>Canino, Felino, Ave, Roedor, Conejo, Reptil y Otro, cada uno con sus razas.</t>
        </is>
      </c>
      <c r="D20" s="4" t="inlineStr">
        <is>
          <t>Agregado 14-10</t>
        </is>
      </c>
      <c r="E20" s="8" t="inlineStr">
        <is>
          <t>✓</t>
        </is>
      </c>
      <c r="F20" s="8" t="inlineStr">
        <is>
          <t>✓</t>
        </is>
      </c>
      <c r="G20" s="8" t="inlineStr">
        <is>
          <t>✓</t>
        </is>
      </c>
      <c r="H20" s="8" t="inlineStr">
        <is>
          <t>—</t>
        </is>
      </c>
      <c r="I20" s="4" t="inlineStr">
        <is>
          <t>/mascotas/</t>
        </is>
      </c>
      <c r="J20" s="8" t="inlineStr">
        <is>
          <t>1e095b1</t>
        </is>
      </c>
    </row>
    <row r="21" ht="28" customHeight="1" s="18">
      <c r="A21" s="4" t="inlineStr">
        <is>
          <t>Clientes y mascotas</t>
        </is>
      </c>
      <c r="B21" s="7" t="inlineStr">
        <is>
          <t>Registrar mascota</t>
        </is>
      </c>
      <c r="C21" s="4" t="inlineStr">
        <is>
          <t>Primero el tipo y después la raza (se filtra sola según el tipo).</t>
        </is>
      </c>
      <c r="D21" s="4" t="inlineStr">
        <is>
          <t>Agregado 14-10</t>
        </is>
      </c>
      <c r="E21" s="8" t="inlineStr">
        <is>
          <t>✓</t>
        </is>
      </c>
      <c r="F21" s="8" t="inlineStr">
        <is>
          <t>✓</t>
        </is>
      </c>
      <c r="G21" s="8" t="inlineStr">
        <is>
          <t>—</t>
        </is>
      </c>
      <c r="H21" s="8" t="inlineStr">
        <is>
          <t>—</t>
        </is>
      </c>
      <c r="I21" s="4" t="inlineStr">
        <is>
          <t>/clientes/&lt;id&gt;/mascotas/nueva/</t>
        </is>
      </c>
      <c r="J21" s="8" t="inlineStr">
        <is>
          <t>002f116</t>
        </is>
      </c>
    </row>
    <row r="22" ht="28" customHeight="1" s="18">
      <c r="A22" s="4" t="inlineStr">
        <is>
          <t>Clientes y mascotas</t>
        </is>
      </c>
      <c r="B22" s="7" t="inlineStr">
        <is>
          <t>Fichas de mascotas</t>
        </is>
      </c>
      <c r="C22" s="4" t="inlineStr">
        <is>
          <t>Tarjetas con edad, clientes y faltas; filtro por tipo y búsqueda por mascota, cliente o RUT.</t>
        </is>
      </c>
      <c r="D22" s="4" t="inlineStr">
        <is>
          <t>Existía (antes del 10-10)</t>
        </is>
      </c>
      <c r="E22" s="8" t="inlineStr">
        <is>
          <t>✓</t>
        </is>
      </c>
      <c r="F22" s="8" t="inlineStr">
        <is>
          <t>✓</t>
        </is>
      </c>
      <c r="G22" s="8" t="inlineStr">
        <is>
          <t>✓</t>
        </is>
      </c>
      <c r="H22" s="8" t="inlineStr">
        <is>
          <t>—</t>
        </is>
      </c>
      <c r="I22" s="4" t="inlineStr">
        <is>
          <t>/mascotas/</t>
        </is>
      </c>
      <c r="J22" s="8" t="inlineStr">
        <is>
          <t>—</t>
        </is>
      </c>
    </row>
    <row r="23" ht="28" customHeight="1" s="18">
      <c r="A23" s="4" t="inlineStr">
        <is>
          <t>Análisis</t>
        </is>
      </c>
      <c r="B23" s="7" t="inlineStr">
        <is>
          <t>Modelo de riesgo de inasistencia</t>
        </is>
      </c>
      <c r="C23" s="4" t="inlineStr">
        <is>
          <t>Puntaje 0–100 por cita según historial del cliente (40), anticipación (20), día (20) y tipo de atención (20).</t>
        </is>
      </c>
      <c r="D23" s="4" t="inlineStr">
        <is>
          <t>Existía (antes del 10-10)</t>
        </is>
      </c>
      <c r="E23" s="8" t="inlineStr">
        <is>
          <t>✓</t>
        </is>
      </c>
      <c r="F23" s="8" t="inlineStr">
        <is>
          <t>✓</t>
        </is>
      </c>
      <c r="G23" s="8" t="inlineStr">
        <is>
          <t>—</t>
        </is>
      </c>
      <c r="H23" s="8" t="inlineStr">
        <is>
          <t>—</t>
        </is>
      </c>
      <c r="I23" s="4" t="inlineStr">
        <is>
          <t>/riesgo/</t>
        </is>
      </c>
      <c r="J23" s="8" t="inlineStr">
        <is>
          <t>—</t>
        </is>
      </c>
    </row>
    <row r="24">
      <c r="A24" s="4" t="inlineStr">
        <is>
          <t>Análisis</t>
        </is>
      </c>
      <c r="B24" s="7" t="inlineStr">
        <is>
          <t>Horas en riesgo</t>
        </is>
      </c>
      <c r="C24" s="4" t="inlineStr">
        <is>
          <t>Citas pendientes ordenadas por riesgo, con la acción sugerida.</t>
        </is>
      </c>
      <c r="D24" s="4" t="inlineStr">
        <is>
          <t>Existía (antes del 10-10)</t>
        </is>
      </c>
      <c r="E24" s="8" t="inlineStr">
        <is>
          <t>✓</t>
        </is>
      </c>
      <c r="F24" s="8" t="inlineStr">
        <is>
          <t>✓</t>
        </is>
      </c>
      <c r="G24" s="8" t="inlineStr">
        <is>
          <t>—</t>
        </is>
      </c>
      <c r="H24" s="8" t="inlineStr">
        <is>
          <t>—</t>
        </is>
      </c>
      <c r="I24" s="4" t="inlineStr">
        <is>
          <t>/riesgo/</t>
        </is>
      </c>
      <c r="J24" s="8" t="inlineStr">
        <is>
          <t>—</t>
        </is>
      </c>
    </row>
    <row r="25">
      <c r="A25" s="4" t="inlineStr">
        <is>
          <t>Análisis</t>
        </is>
      </c>
      <c r="B25" s="7" t="inlineStr">
        <is>
          <t>Indicadores</t>
        </is>
      </c>
      <c r="C25" s="4" t="inlineStr">
        <is>
          <t>Inasistencia por tipo de atención, por anticipación y clientes reincidentes.</t>
        </is>
      </c>
      <c r="D25" s="4" t="inlineStr">
        <is>
          <t>Agregado 10-10 (Uciell)</t>
        </is>
      </c>
      <c r="E25" s="8" t="inlineStr">
        <is>
          <t>✓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—</t>
        </is>
      </c>
      <c r="I25" s="4" t="inlineStr">
        <is>
          <t>/indicadores/</t>
        </is>
      </c>
      <c r="J25" s="8" t="inlineStr">
        <is>
          <t>656239b</t>
        </is>
      </c>
    </row>
    <row r="26" ht="28" customHeight="1" s="18">
      <c r="A26" s="4" t="inlineStr">
        <is>
          <t>Administración</t>
        </is>
      </c>
      <c r="B26" s="7" t="inlineStr">
        <is>
          <t>Personal de la clínica</t>
        </is>
      </c>
      <c r="C26" s="4" t="inlineStr">
        <is>
          <t>Crear, editar y desactivar cuentas del equipo (rol, teléfono, grupos y contraseña). No se borran, para conservar el historial.</t>
        </is>
      </c>
      <c r="D26" s="4" t="inlineStr">
        <is>
          <t>Agregado 14-10</t>
        </is>
      </c>
      <c r="E26" s="8" t="inlineStr">
        <is>
          <t>✓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4" t="inlineStr">
        <is>
          <t>/administracion/personal/</t>
        </is>
      </c>
      <c r="J26" s="8" t="inlineStr">
        <is>
          <t>a0fe3dc</t>
        </is>
      </c>
    </row>
    <row r="27" ht="42" customHeight="1" s="18">
      <c r="A27" s="4" t="inlineStr">
        <is>
          <t>Administración</t>
        </is>
      </c>
      <c r="B27" s="7" t="inlineStr">
        <is>
          <t>Grupos de permisos</t>
        </is>
      </c>
      <c r="C27" s="4" t="inlineStr">
        <is>
          <t>Crear grupos y marcar con casillas qué pueden hacer: Ver/Agregar/Modificar/Eliminar por módulo, más "Ver horas en riesgo" y "Ver indicadores".</t>
        </is>
      </c>
      <c r="D27" s="4" t="inlineStr">
        <is>
          <t>Agregado 14-10</t>
        </is>
      </c>
      <c r="E27" s="8" t="inlineStr">
        <is>
          <t>✓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—</t>
        </is>
      </c>
      <c r="I27" s="4" t="inlineStr">
        <is>
          <t>/administracion/grupos/</t>
        </is>
      </c>
      <c r="J27" s="8" t="inlineStr">
        <is>
          <t>a0fe3dc</t>
        </is>
      </c>
    </row>
    <row r="28" ht="28" customHeight="1" s="18">
      <c r="A28" s="4" t="inlineStr">
        <is>
          <t>Administración</t>
        </is>
      </c>
      <c r="B28" s="7" t="inlineStr">
        <is>
          <t>Panel /admin/ con identidad PreVet</t>
        </is>
      </c>
      <c r="C28" s="4" t="inlineStr">
        <is>
          <t>Panel de Django con el nombre, colores y logo de PreVet, y apartados Personal y Grupos.</t>
        </is>
      </c>
      <c r="D28" s="4" t="inlineStr">
        <is>
          <t>Agregado 14-10</t>
        </is>
      </c>
      <c r="E28" s="8" t="inlineStr">
        <is>
          <t>✓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  <c r="I28" s="4" t="inlineStr">
        <is>
          <t>/admin/</t>
        </is>
      </c>
      <c r="J28" s="8" t="inlineStr">
        <is>
          <t>e882d42</t>
        </is>
      </c>
    </row>
    <row r="29" ht="28" customHeight="1" s="18">
      <c r="A29" s="4" t="inlineStr">
        <is>
          <t>Técnico</t>
        </is>
      </c>
      <c r="B29" s="7" t="inlineStr">
        <is>
          <t>Base de datos compartida (Supabase)</t>
        </is>
      </c>
      <c r="C29" s="4" t="inlineStr">
        <is>
          <t>PostgreSQL en la nube (São Paulo): Katalina y Uciell ven los mismos datos. La contraseña va en .env, nunca en GitHub.</t>
        </is>
      </c>
      <c r="D29" s="4" t="inlineStr">
        <is>
          <t>Agregado 14-10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  <c r="H29" s="8" t="inlineStr">
        <is>
          <t>—</t>
        </is>
      </c>
      <c r="I29" s="4" t="inlineStr">
        <is>
          <t>sistema/.env</t>
        </is>
      </c>
      <c r="J29" s="8" t="inlineStr">
        <is>
          <t>5135cb5</t>
        </is>
      </c>
    </row>
    <row r="30">
      <c r="A30" s="4" t="inlineStr">
        <is>
          <t>Técnico</t>
        </is>
      </c>
      <c r="B30" s="7" t="inlineStr">
        <is>
          <t>Pruebas automatizadas</t>
        </is>
      </c>
      <c r="C30" s="4" t="inlineStr">
        <is>
          <t>Revisan solas que todo funcione. 40 de Uciell + 50 nuevas = 90.</t>
        </is>
      </c>
      <c r="D30" s="4" t="inlineStr">
        <is>
          <t>Agregado 15-10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4" t="inlineStr">
        <is>
          <t>sistema/*/tests.py</t>
        </is>
      </c>
      <c r="J30" s="8" t="inlineStr">
        <is>
          <t>—</t>
        </is>
      </c>
    </row>
    <row r="31" ht="28" customHeight="1" s="18">
      <c r="A31" s="4" t="inlineStr">
        <is>
          <t>Técnico</t>
        </is>
      </c>
      <c r="B31" s="7" t="inlineStr">
        <is>
          <t>Datos de prueba (cargar_demo)</t>
        </is>
      </c>
      <c r="C31" s="4" t="inlineStr">
        <is>
          <t>255 citas, 15 mascotas, 10 clientes con RUT, 5 veterinarios. Mantiene los números del informe.</t>
        </is>
      </c>
      <c r="D31" s="4" t="inlineStr">
        <is>
          <t>Agregado 14-10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  <c r="H31" s="8" t="inlineStr">
        <is>
          <t>—</t>
        </is>
      </c>
      <c r="I31" s="4" t="inlineStr">
        <is>
          <t>python manage.py cargar_demo</t>
        </is>
      </c>
      <c r="J31" s="8" t="inlineStr">
        <is>
          <t>1e095b1</t>
        </is>
      </c>
    </row>
    <row r="32">
      <c r="A32" s="4" t="inlineStr">
        <is>
          <t>Ficha clínica</t>
        </is>
      </c>
      <c r="B32" s="7" t="inlineStr">
        <is>
          <t>Atender: notas de la consulta</t>
        </is>
      </c>
      <c r="C32" s="4" t="inlineStr">
        <is>
          <t>Diagnóstico, indicaciones y peso al cerrar la atención.</t>
        </is>
      </c>
      <c r="D32" s="4" t="inlineStr">
        <is>
          <t>En construcción</t>
        </is>
      </c>
      <c r="E32" s="8" t="inlineStr">
        <is>
          <t>✓</t>
        </is>
      </c>
      <c r="F32" s="8" t="inlineStr">
        <is>
          <t>—</t>
        </is>
      </c>
      <c r="G32" s="8" t="inlineStr">
        <is>
          <t>✓</t>
        </is>
      </c>
      <c r="H32" s="8" t="inlineStr">
        <is>
          <t>—</t>
        </is>
      </c>
      <c r="I32" s="4" t="inlineStr">
        <is>
          <t>Etapa 2</t>
        </is>
      </c>
      <c r="J32" s="8" t="n"/>
    </row>
    <row r="33" ht="28" customHeight="1" s="18">
      <c r="A33" s="4" t="inlineStr">
        <is>
          <t>Ficha clínica</t>
        </is>
      </c>
      <c r="B33" s="7" t="inlineStr">
        <is>
          <t>Subir receta / documentos</t>
        </is>
      </c>
      <c r="C33" s="4" t="inlineStr">
        <is>
          <t>Foto, PDF o Word de la receta o indicaciones, guardados en Supabase Storage.</t>
        </is>
      </c>
      <c r="D33" s="4" t="inlineStr">
        <is>
          <t>En construcción</t>
        </is>
      </c>
      <c r="E33" s="8" t="inlineStr">
        <is>
          <t>✓</t>
        </is>
      </c>
      <c r="F33" s="8" t="inlineStr">
        <is>
          <t>—</t>
        </is>
      </c>
      <c r="G33" s="8" t="inlineStr">
        <is>
          <t>✓</t>
        </is>
      </c>
      <c r="H33" s="8" t="inlineStr">
        <is>
          <t>—</t>
        </is>
      </c>
      <c r="I33" s="4" t="inlineStr">
        <is>
          <t>Etapa 2</t>
        </is>
      </c>
      <c r="J33" s="8" t="n"/>
    </row>
    <row r="34">
      <c r="A34" s="4" t="inlineStr">
        <is>
          <t>Ficha clínica</t>
        </is>
      </c>
      <c r="B34" s="7" t="inlineStr">
        <is>
          <t>Carné de vacunas</t>
        </is>
      </c>
      <c r="C34" s="4" t="inlineStr">
        <is>
          <t>Vacunas aplicadas y fecha de la próxima dosis.</t>
        </is>
      </c>
      <c r="D34" s="4" t="inlineStr">
        <is>
          <t>Pendiente</t>
        </is>
      </c>
      <c r="E34" s="8" t="inlineStr">
        <is>
          <t>✓</t>
        </is>
      </c>
      <c r="F34" s="8" t="inlineStr">
        <is>
          <t>✓</t>
        </is>
      </c>
      <c r="G34" s="8" t="inlineStr">
        <is>
          <t>✓</t>
        </is>
      </c>
      <c r="H34" s="8" t="inlineStr">
        <is>
          <t>—</t>
        </is>
      </c>
      <c r="I34" s="4" t="inlineStr">
        <is>
          <t>Etapa 2</t>
        </is>
      </c>
      <c r="J34" s="8" t="n"/>
    </row>
    <row r="35">
      <c r="A35" s="4" t="inlineStr">
        <is>
          <t>Ficha clínica</t>
        </is>
      </c>
      <c r="B35" s="7" t="inlineStr">
        <is>
          <t>Microchip (Ley Cholito)</t>
        </is>
      </c>
      <c r="C35" s="4" t="inlineStr">
        <is>
          <t>Número de chip y si está inscrita en el Registro Nacional.</t>
        </is>
      </c>
      <c r="D35" s="4" t="inlineStr">
        <is>
          <t>Pendiente</t>
        </is>
      </c>
      <c r="E35" s="8" t="inlineStr">
        <is>
          <t>✓</t>
        </is>
      </c>
      <c r="F35" s="8" t="inlineStr">
        <is>
          <t>✓</t>
        </is>
      </c>
      <c r="G35" s="8" t="inlineStr">
        <is>
          <t>✓</t>
        </is>
      </c>
      <c r="H35" s="8" t="inlineStr">
        <is>
          <t>—</t>
        </is>
      </c>
      <c r="I35" s="4" t="inlineStr">
        <is>
          <t>Etapa 2</t>
        </is>
      </c>
      <c r="J35" s="8" t="n"/>
    </row>
    <row r="36" ht="28" customHeight="1" s="18">
      <c r="A36" s="4" t="inlineStr">
        <is>
          <t>Cliente</t>
        </is>
      </c>
      <c r="B36" s="7" t="inlineStr">
        <is>
          <t>Enlace seguro del cliente</t>
        </is>
      </c>
      <c r="C36" s="4" t="inlineStr">
        <is>
          <t>Enlace único por WhatsApp para ver consultas, documentos y carné de vacunas, sin crear cuenta.</t>
        </is>
      </c>
      <c r="D36" s="4" t="inlineStr">
        <is>
          <t>Pendiente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✓</t>
        </is>
      </c>
      <c r="I36" s="4" t="inlineStr">
        <is>
          <t>Etapa 3</t>
        </is>
      </c>
      <c r="J36" s="8" t="n"/>
    </row>
    <row r="37" ht="28" customHeight="1" s="18">
      <c r="A37" s="4" t="inlineStr">
        <is>
          <t>Cliente</t>
        </is>
      </c>
      <c r="B37" s="7" t="inlineStr">
        <is>
          <t>Confirmar o avisar que no va</t>
        </is>
      </c>
      <c r="C37" s="4" t="inlineStr">
        <is>
          <t>Botones "Confirmo" / "No puedo ir" en el enlace; la respuesta alimenta el modelo de riesgo.</t>
        </is>
      </c>
      <c r="D37" s="4" t="inlineStr">
        <is>
          <t>Pendiente</t>
        </is>
      </c>
      <c r="E37" s="8" t="inlineStr">
        <is>
          <t>—</t>
        </is>
      </c>
      <c r="F37" s="8" t="inlineStr">
        <is>
          <t>—</t>
        </is>
      </c>
      <c r="G37" s="8" t="inlineStr">
        <is>
          <t>—</t>
        </is>
      </c>
      <c r="H37" s="8" t="inlineStr">
        <is>
          <t>✓</t>
        </is>
      </c>
      <c r="I37" s="4" t="inlineStr">
        <is>
          <t>Etapa 3</t>
        </is>
      </c>
      <c r="J37" s="8" t="n"/>
    </row>
    <row r="38" ht="28" customHeight="1" s="18">
      <c r="A38" s="4" t="inlineStr">
        <is>
          <t>Recepción</t>
        </is>
      </c>
      <c r="B38" s="7" t="inlineStr">
        <is>
          <t>Lista de llamadas con WhatsApp</t>
        </is>
      </c>
      <c r="C38" s="4" t="inlineStr">
        <is>
          <t>Horas en riesgo de mañana con botón que abre WhatsApp con el mensaje listo.</t>
        </is>
      </c>
      <c r="D38" s="4" t="inlineStr">
        <is>
          <t>Pendiente</t>
        </is>
      </c>
      <c r="E38" s="8" t="inlineStr">
        <is>
          <t>✓</t>
        </is>
      </c>
      <c r="F38" s="8" t="inlineStr">
        <is>
          <t>✓</t>
        </is>
      </c>
      <c r="G38" s="8" t="inlineStr">
        <is>
          <t>—</t>
        </is>
      </c>
      <c r="H38" s="8" t="inlineStr">
        <is>
          <t>—</t>
        </is>
      </c>
      <c r="I38" s="4" t="inlineStr">
        <is>
          <t>Etapa 4</t>
        </is>
      </c>
      <c r="J38" s="8" t="n"/>
    </row>
    <row r="39" ht="28" customHeight="1" s="18">
      <c r="A39" s="4" t="inlineStr">
        <is>
          <t>Recepción</t>
        </is>
      </c>
      <c r="B39" s="7" t="inlineStr">
        <is>
          <t>Resultado de cada llamada</t>
        </is>
      </c>
      <c r="C39" s="4" t="inlineStr">
        <is>
          <t>Confirmó / Reagendó / No contesta / Canceló, para medir si actuar reduce las faltas.</t>
        </is>
      </c>
      <c r="D39" s="4" t="inlineStr">
        <is>
          <t>Pendiente</t>
        </is>
      </c>
      <c r="E39" s="8" t="inlineStr">
        <is>
          <t>✓</t>
        </is>
      </c>
      <c r="F39" s="8" t="inlineStr">
        <is>
          <t>✓</t>
        </is>
      </c>
      <c r="G39" s="8" t="inlineStr">
        <is>
          <t>—</t>
        </is>
      </c>
      <c r="H39" s="8" t="inlineStr">
        <is>
          <t>—</t>
        </is>
      </c>
      <c r="I39" s="4" t="inlineStr">
        <is>
          <t>Etapa 4</t>
        </is>
      </c>
      <c r="J39" s="8" t="n"/>
    </row>
    <row r="40" ht="28" customHeight="1" s="18">
      <c r="A40" s="4" t="inlineStr">
        <is>
          <t>Recepción</t>
        </is>
      </c>
      <c r="B40" s="7" t="inlineStr">
        <is>
          <t>Lista de espera</t>
        </is>
      </c>
      <c r="C40" s="4" t="inlineStr">
        <is>
          <t>Clientes que quieren una hora antes; al cancelarse una, se sugiere a quién llamar.</t>
        </is>
      </c>
      <c r="D40" s="4" t="inlineStr">
        <is>
          <t>Pendiente</t>
        </is>
      </c>
      <c r="E40" s="8" t="inlineStr">
        <is>
          <t>✓</t>
        </is>
      </c>
      <c r="F40" s="8" t="inlineStr">
        <is>
          <t>✓</t>
        </is>
      </c>
      <c r="G40" s="8" t="inlineStr">
        <is>
          <t>—</t>
        </is>
      </c>
      <c r="H40" s="8" t="inlineStr">
        <is>
          <t>—</t>
        </is>
      </c>
      <c r="I40" s="4" t="inlineStr">
        <is>
          <t>Etapa 4</t>
        </is>
      </c>
      <c r="J40" s="8" t="n"/>
    </row>
    <row r="41">
      <c r="A41" s="4" t="inlineStr">
        <is>
          <t>Recepción</t>
        </is>
      </c>
      <c r="B41" s="7" t="inlineStr">
        <is>
          <t>Ficha del cliente</t>
        </is>
      </c>
      <c r="C41" s="4" t="inlineStr">
        <is>
          <t>Sus mascotas, historial de asistencia, teléfono y botón de WhatsApp.</t>
        </is>
      </c>
      <c r="D41" s="4" t="inlineStr">
        <is>
          <t>Pendiente</t>
        </is>
      </c>
      <c r="E41" s="8" t="inlineStr">
        <is>
          <t>✓</t>
        </is>
      </c>
      <c r="F41" s="8" t="inlineStr">
        <is>
          <t>✓</t>
        </is>
      </c>
      <c r="G41" s="8" t="inlineStr">
        <is>
          <t>✓</t>
        </is>
      </c>
      <c r="H41" s="8" t="inlineStr">
        <is>
          <t>—</t>
        </is>
      </c>
      <c r="I41" s="4" t="inlineStr">
        <is>
          <t>Etapa 4</t>
        </is>
      </c>
      <c r="J41" s="8" t="n"/>
    </row>
    <row r="42">
      <c r="A42" s="4" t="inlineStr">
        <is>
          <t>Administración</t>
        </is>
      </c>
      <c r="B42" s="7" t="inlineStr">
        <is>
          <t>¿Acierta el modelo?</t>
        </is>
      </c>
      <c r="C42" s="4" t="inlineStr">
        <is>
          <t>Compara el riesgo predicho con lo que pasó. Es la validación del objetivo 5.</t>
        </is>
      </c>
      <c r="D42" s="4" t="inlineStr">
        <is>
          <t>Pendiente</t>
        </is>
      </c>
      <c r="E42" s="8" t="inlineStr">
        <is>
          <t>✓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4" t="inlineStr">
        <is>
          <t>Etapa 5</t>
        </is>
      </c>
      <c r="J42" s="8" t="n"/>
    </row>
    <row r="43">
      <c r="A43" s="4" t="inlineStr">
        <is>
          <t>Administración</t>
        </is>
      </c>
      <c r="B43" s="7" t="inlineStr">
        <is>
          <t>Plata recuperada</t>
        </is>
      </c>
      <c r="C43" s="4" t="inlineStr">
        <is>
          <t>Horas en riesgo que se confirmaron o reasignaron, en pesos.</t>
        </is>
      </c>
      <c r="D43" s="4" t="inlineStr">
        <is>
          <t>Pendiente</t>
        </is>
      </c>
      <c r="E43" s="8" t="inlineStr">
        <is>
          <t>✓</t>
        </is>
      </c>
      <c r="F43" s="8" t="inlineStr">
        <is>
          <t>—</t>
        </is>
      </c>
      <c r="G43" s="8" t="inlineStr">
        <is>
          <t>—</t>
        </is>
      </c>
      <c r="H43" s="8" t="inlineStr">
        <is>
          <t>—</t>
        </is>
      </c>
      <c r="I43" s="4" t="inlineStr">
        <is>
          <t>Etapa 5</t>
        </is>
      </c>
      <c r="J43" s="8" t="n"/>
    </row>
    <row r="44">
      <c r="A44" s="4" t="inlineStr">
        <is>
          <t>Administración</t>
        </is>
      </c>
      <c r="B44" s="7" t="inlineStr">
        <is>
          <t>Mapa de calor</t>
        </is>
      </c>
      <c r="C44" s="4" t="inlineStr">
        <is>
          <t>Día de la semana × hora, coloreado por tasa de inasistencia.</t>
        </is>
      </c>
      <c r="D44" s="4" t="inlineStr">
        <is>
          <t>Pendiente</t>
        </is>
      </c>
      <c r="E44" s="8" t="inlineStr">
        <is>
          <t>✓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4" t="inlineStr">
        <is>
          <t>Etapa 5</t>
        </is>
      </c>
      <c r="J44" s="8" t="n"/>
    </row>
    <row r="45">
      <c r="A45" s="4" t="inlineStr">
        <is>
          <t>Administración</t>
        </is>
      </c>
      <c r="B45" s="7" t="inlineStr">
        <is>
          <t>Exportar a Excel</t>
        </is>
      </c>
      <c r="C45" s="4" t="inlineStr">
        <is>
          <t>Para el tablero de Power BI comprometido en el 1.5.</t>
        </is>
      </c>
      <c r="D45" s="4" t="inlineStr">
        <is>
          <t>Pendiente</t>
        </is>
      </c>
      <c r="E45" s="8" t="inlineStr">
        <is>
          <t>✓</t>
        </is>
      </c>
      <c r="F45" s="8" t="inlineStr">
        <is>
          <t>—</t>
        </is>
      </c>
      <c r="G45" s="8" t="inlineStr">
        <is>
          <t>—</t>
        </is>
      </c>
      <c r="H45" s="8" t="inlineStr">
        <is>
          <t>—</t>
        </is>
      </c>
      <c r="I45" s="4" t="inlineStr">
        <is>
          <t>Etapa 5</t>
        </is>
      </c>
      <c r="J45" s="8" t="n"/>
    </row>
    <row r="46">
      <c r="A46" s="4" t="inlineStr">
        <is>
          <t>Administración</t>
        </is>
      </c>
      <c r="B46" s="7" t="inlineStr">
        <is>
          <t>Registro de cambios</t>
        </is>
      </c>
      <c r="C46" s="4" t="inlineStr">
        <is>
          <t>Quién marcó "no asistió", canceló o editó, y cuándo.</t>
        </is>
      </c>
      <c r="D46" s="4" t="inlineStr">
        <is>
          <t>Pendiente</t>
        </is>
      </c>
      <c r="E46" s="8" t="inlineStr">
        <is>
          <t>✓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4" t="inlineStr">
        <is>
          <t>Etapa 5</t>
        </is>
      </c>
      <c r="J46" s="8" t="n"/>
    </row>
    <row r="47" ht="28" customHeight="1" s="18">
      <c r="A47" s="4" t="inlineStr">
        <is>
          <t>Pública</t>
        </is>
      </c>
      <c r="B47" s="7" t="inlineStr">
        <is>
          <t>Página "link en la bio"</t>
        </is>
      </c>
      <c r="C47" s="4" t="inlineStr">
        <is>
          <t>Servicios, horarios, ubicación, WhatsApp y "Agenda tu hora", para el Instagram de la clínica.</t>
        </is>
      </c>
      <c r="D47" s="4" t="inlineStr">
        <is>
          <t>Pendiente</t>
        </is>
      </c>
      <c r="E47" s="8" t="inlineStr">
        <is>
          <t>—</t>
        </is>
      </c>
      <c r="F47" s="8" t="inlineStr">
        <is>
          <t>—</t>
        </is>
      </c>
      <c r="G47" s="8" t="inlineStr">
        <is>
          <t>—</t>
        </is>
      </c>
      <c r="H47" s="8" t="inlineStr">
        <is>
          <t>✓</t>
        </is>
      </c>
      <c r="I47" s="4" t="inlineStr">
        <is>
          <t>Etapa 6 (ampliación)</t>
        </is>
      </c>
      <c r="J47" s="8" t="n"/>
    </row>
    <row r="48">
      <c r="A48" s="4" t="inlineStr">
        <is>
          <t>Pública</t>
        </is>
      </c>
      <c r="B48" s="7" t="inlineStr">
        <is>
          <t>Operativos con cupos</t>
        </is>
      </c>
      <c r="C48" s="4" t="inlineStr">
        <is>
          <t>Esterilización, antirrábica o chip, con inscripción por RUT.</t>
        </is>
      </c>
      <c r="D48" s="4" t="inlineStr">
        <is>
          <t>Pendiente</t>
        </is>
      </c>
      <c r="E48" s="8" t="inlineStr">
        <is>
          <t>✓</t>
        </is>
      </c>
      <c r="F48" s="8" t="inlineStr">
        <is>
          <t>✓</t>
        </is>
      </c>
      <c r="G48" s="8" t="inlineStr">
        <is>
          <t>—</t>
        </is>
      </c>
      <c r="H48" s="8" t="inlineStr">
        <is>
          <t>✓</t>
        </is>
      </c>
      <c r="I48" s="4" t="inlineStr">
        <is>
          <t>Etapa 6 (ampliación)</t>
        </is>
      </c>
      <c r="J48" s="8" t="n"/>
    </row>
    <row r="49">
      <c r="A49" s="4" t="inlineStr">
        <is>
          <t>Pública</t>
        </is>
      </c>
      <c r="B49" s="7" t="inlineStr">
        <is>
          <t>Adopciones</t>
        </is>
      </c>
      <c r="C49" s="4" t="inlineStr">
        <is>
          <t>Fichas de animales rescatados con fotos y estado.</t>
        </is>
      </c>
      <c r="D49" s="4" t="inlineStr">
        <is>
          <t>Pendiente</t>
        </is>
      </c>
      <c r="E49" s="8" t="inlineStr">
        <is>
          <t>✓</t>
        </is>
      </c>
      <c r="F49" s="8" t="inlineStr">
        <is>
          <t>✓</t>
        </is>
      </c>
      <c r="G49" s="8" t="inlineStr">
        <is>
          <t>—</t>
        </is>
      </c>
      <c r="H49" s="8" t="inlineStr">
        <is>
          <t>✓</t>
        </is>
      </c>
      <c r="I49" s="4" t="inlineStr">
        <is>
          <t>Etapa 6 (ampliación)</t>
        </is>
      </c>
      <c r="J49" s="8" t="n"/>
    </row>
  </sheetData>
  <autoFilter ref="A4:J49"/>
  <conditionalFormatting sqref="A5:J49">
    <cfRule type="expression" priority="1" dxfId="7">
      <formula>$D5="Existía (antes del 10-10)"</formula>
    </cfRule>
    <cfRule type="expression" priority="2" dxfId="6">
      <formula>$D5="Agregado 10-10 (Uciell)"</formula>
    </cfRule>
    <cfRule type="expression" priority="3" dxfId="5">
      <formula>$D5="Agregado 14-10"</formula>
    </cfRule>
    <cfRule type="expression" priority="4" dxfId="1">
      <formula>$D5="Agregado 15-10"</formula>
    </cfRule>
    <cfRule type="expression" priority="5" dxfId="0">
      <formula>$D5="En construcción"</formula>
    </cfRule>
    <cfRule type="expression" priority="6" dxfId="2">
      <formula>$D5="Pendiente"</formula>
    </cfRule>
  </conditionalFormatting>
  <dataValidations count="1">
    <dataValidation sqref="D5:D49" showDropDown="0" showInputMessage="0" showErrorMessage="0" allowBlank="0" type="list">
      <formula1>"Existía (antes del 10-10),Agregado 10-10 (Uciell),Agregado 14-10,Agregado 15-10,En construcción,Pendiente"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8.83203125" defaultRowHeight="15"/>
  <cols>
    <col width="10" customWidth="1" style="18" min="1" max="1"/>
    <col width="70" customWidth="1" style="18" min="2" max="2"/>
    <col width="18" customWidth="1" style="18" min="3" max="3"/>
    <col width="16" customWidth="1" style="18" min="4" max="4"/>
    <col width="10" customWidth="1" style="18" min="5" max="5"/>
  </cols>
  <sheetData>
    <row r="1" ht="18" customHeight="1" s="18">
      <c r="A1" s="1" t="inlineStr">
        <is>
          <t>PreVet · Plan de las 6 etapas</t>
        </is>
      </c>
    </row>
    <row r="2">
      <c r="A2" s="2" t="inlineStr">
        <is>
          <t>Un commit por etapa. La etapa 6 queda fuera del alcance del 1.5: declararla como ampliación.</t>
        </is>
      </c>
    </row>
    <row r="4" ht="30" customHeight="1" s="18">
      <c r="A4" s="3" t="inlineStr">
        <is>
          <t>Etapa</t>
        </is>
      </c>
      <c r="B4" s="3" t="inlineStr">
        <is>
          <t>Qué incluye</t>
        </is>
      </c>
      <c r="C4" s="3" t="inlineStr">
        <is>
          <t>Estado</t>
        </is>
      </c>
      <c r="D4" s="3" t="inlineStr">
        <is>
          <t>Funcionalidades en la hoja</t>
        </is>
      </c>
      <c r="E4" s="3" t="inlineStr">
        <is>
          <t>Listas</t>
        </is>
      </c>
    </row>
    <row r="5" ht="32" customHeight="1" s="18">
      <c r="A5" s="8" t="n">
        <v>1</v>
      </c>
      <c r="B5" s="4" t="inlineStr">
        <is>
          <t>Calendario día/semana/mes, detalle de la cita, llegó, atendida, no asistió, reagendar y cancelar con motivo.</t>
        </is>
      </c>
      <c r="C5" s="8" t="inlineStr">
        <is>
          <t>Lista</t>
        </is>
      </c>
      <c r="D5" s="8" t="n">
        <v>5</v>
      </c>
      <c r="E5" s="8" t="n">
        <v>5</v>
      </c>
    </row>
    <row r="6" ht="32" customHeight="1" s="18">
      <c r="A6" s="8" t="n">
        <v>2</v>
      </c>
      <c r="B6" s="4" t="inlineStr">
        <is>
          <t>Ficha clínica: notas de la atención, documentos en Supabase Storage, carné de vacunas y microchip.</t>
        </is>
      </c>
      <c r="C6" s="8" t="inlineStr">
        <is>
          <t>En construcción</t>
        </is>
      </c>
      <c r="D6" s="8">
        <f>COUNTIF(Funcionalidades!$I$5:$I$49,"Etapa 2")</f>
        <v/>
      </c>
      <c r="E6" s="8" t="n">
        <v>0</v>
      </c>
    </row>
    <row r="7" ht="32" customHeight="1" s="18">
      <c r="A7" s="8" t="n">
        <v>3</v>
      </c>
      <c r="B7" s="4" t="inlineStr">
        <is>
          <t>Enlace seguro del cliente: confirmar o avisar que no va, ver consultas, documentos y carné.</t>
        </is>
      </c>
      <c r="C7" s="8" t="inlineStr">
        <is>
          <t>Pendiente</t>
        </is>
      </c>
      <c r="D7" s="8">
        <f>COUNTIF(Funcionalidades!$I$5:$I$49,"Etapa 3")</f>
        <v/>
      </c>
      <c r="E7" s="8" t="n">
        <v>0</v>
      </c>
    </row>
    <row r="8" ht="32" customHeight="1" s="18">
      <c r="A8" s="8" t="n">
        <v>4</v>
      </c>
      <c r="B8" s="4" t="inlineStr">
        <is>
          <t>Recepción: lista de llamadas con WhatsApp y su resultado, lista de espera y ficha del cliente.</t>
        </is>
      </c>
      <c r="C8" s="8" t="inlineStr">
        <is>
          <t>Pendiente</t>
        </is>
      </c>
      <c r="D8" s="8">
        <f>COUNTIF(Funcionalidades!$I$5:$I$49,"Etapa 4")</f>
        <v/>
      </c>
      <c r="E8" s="8" t="n">
        <v>0</v>
      </c>
    </row>
    <row r="9" ht="32" customHeight="1" s="18">
      <c r="A9" s="8" t="n">
        <v>5</v>
      </c>
      <c r="B9" s="4" t="inlineStr">
        <is>
          <t>Administración: ¿acierta el modelo?, plata recuperada, mapa de calor, exportar a Excel y registro de cambios.</t>
        </is>
      </c>
      <c r="C9" s="8" t="inlineStr">
        <is>
          <t>Pendiente</t>
        </is>
      </c>
      <c r="D9" s="8">
        <f>COUNTIF(Funcionalidades!$I$5:$I$49,"Etapa 5")</f>
        <v/>
      </c>
      <c r="E9" s="8" t="n">
        <v>0</v>
      </c>
    </row>
    <row r="10" ht="32" customHeight="1" s="18">
      <c r="A10" s="8" t="n">
        <v>6</v>
      </c>
      <c r="B10" s="4" t="inlineStr">
        <is>
          <t>Página pública "link en la bio", operativos con cupos y adopciones.</t>
        </is>
      </c>
      <c r="C10" s="8" t="inlineStr">
        <is>
          <t>Pendiente</t>
        </is>
      </c>
      <c r="D10" s="8">
        <f>COUNTIF(Funcionalidades!$I$5:$I$49,"Etapa 6 (ampliación)")</f>
        <v/>
      </c>
      <c r="E10" s="8" t="n">
        <v>0</v>
      </c>
    </row>
    <row r="12">
      <c r="A12" s="6" t="inlineStr">
        <is>
          <t>Avance</t>
        </is>
      </c>
      <c r="B12" s="9" t="inlineStr">
        <is>
          <t>Funcionalidades de las 6 etapas que ya están listas</t>
        </is>
      </c>
      <c r="C12" s="10">
        <f>SUM(E5:E10)/SUM(D5:D10)</f>
        <v/>
      </c>
    </row>
  </sheetData>
  <conditionalFormatting sqref="A5:E10">
    <cfRule type="expression" priority="1" dxfId="1">
      <formula>$C5="Lista"</formula>
    </cfRule>
    <cfRule type="expression" priority="2" dxfId="0">
      <formula>$C5="En construcción"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10" defaultColWidth="8.83203125" defaultRowHeight="15"/>
  <cols>
    <col width="30" customWidth="1" style="18" min="1" max="1"/>
    <col width="26" customWidth="1" style="18" min="2" max="2"/>
    <col width="28" customWidth="1" style="18" min="3" max="3"/>
  </cols>
  <sheetData>
    <row r="1" ht="18" customHeight="1" s="18">
      <c r="A1" s="1" t="inlineStr">
        <is>
          <t>PreVet · Resumen</t>
        </is>
      </c>
    </row>
    <row r="2">
      <c r="A2" s="2" t="inlineStr">
        <is>
          <t>Se calcula solo a partir de la hoja Funcionalidades.</t>
        </is>
      </c>
    </row>
    <row r="4" ht="30" customHeight="1" s="18">
      <c r="A4" s="3" t="inlineStr">
        <is>
          <t>Estado</t>
        </is>
      </c>
      <c r="B4" s="3" t="inlineStr">
        <is>
          <t>Cantidad</t>
        </is>
      </c>
    </row>
    <row r="5">
      <c r="A5" s="11" t="inlineStr">
        <is>
          <t>Existía (antes del 10-10)</t>
        </is>
      </c>
      <c r="B5" s="9">
        <f>COUNTIF(Funcionalidades!$D$5:$D$49,"Existía (antes del 10-10)")</f>
        <v/>
      </c>
    </row>
    <row r="6">
      <c r="A6" s="12" t="inlineStr">
        <is>
          <t>Agregado 10-10 (Uciell)</t>
        </is>
      </c>
      <c r="B6" s="9">
        <f>COUNTIF(Funcionalidades!$D$5:$D$49,"Agregado 10-10 (Uciell)")</f>
        <v/>
      </c>
    </row>
    <row r="7">
      <c r="A7" s="13" t="inlineStr">
        <is>
          <t>Agregado 14-10</t>
        </is>
      </c>
      <c r="B7" s="9">
        <f>COUNTIF(Funcionalidades!$D$5:$D$49,"Agregado 14-10")</f>
        <v/>
      </c>
    </row>
    <row r="8">
      <c r="A8" s="14" t="inlineStr">
        <is>
          <t>Agregado 15-10</t>
        </is>
      </c>
      <c r="B8" s="9">
        <f>COUNTIF(Funcionalidades!$D$5:$D$49,"Agregado 15-10")</f>
        <v/>
      </c>
    </row>
    <row r="9">
      <c r="A9" s="15" t="inlineStr">
        <is>
          <t>En construcción</t>
        </is>
      </c>
      <c r="B9" s="9">
        <f>COUNTIF(Funcionalidades!$D$5:$D$49,"En construcción")</f>
        <v/>
      </c>
    </row>
    <row r="10">
      <c r="A10" s="16" t="inlineStr">
        <is>
          <t>Pendiente</t>
        </is>
      </c>
      <c r="B10" s="9">
        <f>COUNTIF(Funcionalidades!$D$5:$D$49,"Pendiente")</f>
        <v/>
      </c>
    </row>
    <row r="11">
      <c r="A11" s="6" t="inlineStr">
        <is>
          <t>Total</t>
        </is>
      </c>
      <c r="B11" s="6">
        <f>SUM(B5:B10)</f>
        <v/>
      </c>
    </row>
    <row r="14" ht="30" customHeight="1" s="18">
      <c r="A14" s="3" t="inlineStr">
        <is>
          <t>Tipo de usuario</t>
        </is>
      </c>
      <c r="B14" s="3" t="inlineStr">
        <is>
          <t>Funciones que ya puede usar</t>
        </is>
      </c>
      <c r="C14" s="3" t="inlineStr">
        <is>
          <t>Funciones pendientes para él</t>
        </is>
      </c>
    </row>
    <row r="15">
      <c r="A15" s="9" t="inlineStr">
        <is>
          <t>Administración</t>
        </is>
      </c>
      <c r="B15" s="9">
        <f>COUNTIFS(Funcionalidades!$E$5:$E$49,"✓",Funcionalidades!$D$5:$D$49,"&lt;&gt;Pendiente",Funcionalidades!$D$5:$D$49,"&lt;&gt;En construcción")</f>
        <v/>
      </c>
      <c r="C15" s="9">
        <f>COUNTIFS(Funcionalidades!$E$5:$E$49,"✓",Funcionalidades!$D$5:$D$49,"Pendiente")+COUNTIFS(Funcionalidades!$E$5:$E$49,"✓",Funcionalidades!$D$5:$D$49,"En construcción")</f>
        <v/>
      </c>
    </row>
    <row r="16">
      <c r="A16" s="9" t="inlineStr">
        <is>
          <t>Recepción</t>
        </is>
      </c>
      <c r="B16" s="9">
        <f>COUNTIFS(Funcionalidades!$F$5:$F$49,"✓",Funcionalidades!$D$5:$D$49,"&lt;&gt;Pendiente",Funcionalidades!$D$5:$D$49,"&lt;&gt;En construcción")</f>
        <v/>
      </c>
      <c r="C16" s="9">
        <f>COUNTIFS(Funcionalidades!$F$5:$F$49,"✓",Funcionalidades!$D$5:$D$49,"Pendiente")+COUNTIFS(Funcionalidades!$F$5:$F$49,"✓",Funcionalidades!$D$5:$D$49,"En construcción")</f>
        <v/>
      </c>
    </row>
    <row r="17">
      <c r="A17" s="9" t="inlineStr">
        <is>
          <t>Veterinario</t>
        </is>
      </c>
      <c r="B17" s="9">
        <f>COUNTIFS(Funcionalidades!$G$5:$G$49,"✓",Funcionalidades!$D$5:$D$49,"&lt;&gt;Pendiente",Funcionalidades!$D$5:$D$49,"&lt;&gt;En construcción")</f>
        <v/>
      </c>
      <c r="C17" s="9">
        <f>COUNTIFS(Funcionalidades!$G$5:$G$49,"✓",Funcionalidades!$D$5:$D$49,"Pendiente")+COUNTIFS(Funcionalidades!$G$5:$G$49,"✓",Funcionalidades!$D$5:$D$49,"En construcción")</f>
        <v/>
      </c>
    </row>
    <row r="18">
      <c r="A18" s="9" t="inlineStr">
        <is>
          <t>Cliente</t>
        </is>
      </c>
      <c r="B18" s="9">
        <f>COUNTIFS(Funcionalidades!$H$5:$H$49,"✓",Funcionalidades!$D$5:$D$49,"&lt;&gt;Pendiente",Funcionalidades!$D$5:$D$49,"&lt;&gt;En construcción")</f>
        <v/>
      </c>
      <c r="C18" s="9">
        <f>COUNTIFS(Funcionalidades!$H$5:$H$49,"✓",Funcionalidades!$D$5:$D$49,"Pendiente")+COUNTIFS(Funcionalidades!$H$5:$H$49,"✓",Funcionalidades!$D$5:$D$49,"En construcción")</f>
        <v/>
      </c>
    </row>
    <row r="20">
      <c r="A20" s="2" t="inlineStr">
        <is>
          <t>El superusuario (katalina) puede usar todas las funciones listas.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2026-10-15T17:02:07Z</dcterms:created>
  <dcterms:modified xmlns:dcterms="http://purl.org/dc/terms/" xmlns:xsi="http://www.w3.org/2001/XMLSchema-instance" xsi:type="dcterms:W3CDTF">2026-10-19T17:28:30Z</dcterms:modified>
  <cp:lastModifiedBy>Katalina Mora Quiñones</cp:lastModifiedBy>
</cp:coreProperties>
</file>